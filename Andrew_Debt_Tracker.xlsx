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bt Tracker" sheetId="1" state="visible" r:id="rId3"/>
    <sheet name="Findings &amp; Gaps" sheetId="2" state="visible" r:id="rId4"/>
    <sheet name="Next Step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<sst xmlns="http://schemas.openxmlformats.org/spreadsheetml/2006/main" count="238" uniqueCount="188">
  <si>
    <t xml:space="preserve">Andrew's Debt Elimination Tracker</t>
  </si>
  <si>
    <t xml:space="preserve">Sources: Wells Fargo statements 3/6/26, 4/7/26, 5/7/26. Blue cells = fill in yourself.</t>
  </si>
  <si>
    <t xml:space="preserve">Account / Creditor</t>
  </si>
  <si>
    <t xml:space="preserve">Type</t>
  </si>
  <si>
    <t xml:space="preserve">Status</t>
  </si>
  <si>
    <t xml:space="preserve">Balance ($)</t>
  </si>
  <si>
    <t xml:space="preserve">APR (%)</t>
  </si>
  <si>
    <t xml:space="preserve">Min Payment ($)</t>
  </si>
  <si>
    <t xml:space="preserve">Last Pmt Seen ($)</t>
  </si>
  <si>
    <t xml:space="preserve">Last Date Seen</t>
  </si>
  <si>
    <t xml:space="preserve">Frequency</t>
  </si>
  <si>
    <t xml:space="preserve">Notes</t>
  </si>
  <si>
    <t xml:space="preserve">CREDIT CARDS</t>
  </si>
  <si>
    <t xml:space="preserve">Capital One</t>
  </si>
  <si>
    <t xml:space="preserve">Credit Card</t>
  </si>
  <si>
    <t xml:space="preserve">Active</t>
  </si>
  <si>
    <t xml:space="preserve">3/26/2026</t>
  </si>
  <si>
    <t xml:space="preserve">Monthly</t>
  </si>
  <si>
    <t xml:space="preserve">Pmt $357.16 in Feb &amp; March. Returned/charged off attempt in April ($357.16 returned 4/28). Was on your list.</t>
  </si>
  <si>
    <t xml:space="preserve">Chase Credit Card</t>
  </si>
  <si>
    <t xml:space="preserve">Behind - returns</t>
  </si>
  <si>
    <t xml:space="preserve">5/4/2026</t>
  </si>
  <si>
    <t xml:space="preserve">Pmt amount has dropped from $261 (Feb) to $87 (Mar–May). Several retry attempts. Was on your list.</t>
  </si>
  <si>
    <t xml:space="preserve">Credit One</t>
  </si>
  <si>
    <t xml:space="preserve">4/8/2026</t>
  </si>
  <si>
    <t xml:space="preserve">Pmts: $326.15 (Feb), $13.66 (late Feb), $202.06 (Apr). Was on your list.</t>
  </si>
  <si>
    <t xml:space="preserve">Mastercard ending 5494...88</t>
  </si>
  <si>
    <t xml:space="preserve">4/9/2026</t>
  </si>
  <si>
    <t xml:space="preserve">CONFIRM WHICH CARD THIS IS. Could be BrightWay, Concora, or Indigo from your list. $75 attempt 3/30 returned, $413.21 paid 4/9.</t>
  </si>
  <si>
    <t xml:space="preserve">Best Buy Card (Citi)</t>
  </si>
  <si>
    <t xml:space="preserve">Active - auto pay</t>
  </si>
  <si>
    <t xml:space="preserve">4/20/2026</t>
  </si>
  <si>
    <t xml:space="preserve">NOT on your original list. Auto-pay $85/mo every cycle (Feb 19, Mar 19, Apr 20). Likely Citi-issued Best Buy card.</t>
  </si>
  <si>
    <t xml:space="preserve">Lowes Card</t>
  </si>
  <si>
    <t xml:space="preserve">Active - irregular</t>
  </si>
  <si>
    <t xml:space="preserve">4/6/2026</t>
  </si>
  <si>
    <t xml:space="preserve">NOT on your original list. Pmts: $149 (3/4), $327 (4/6), $157 returned (5/5). Could be the "Floor &amp; Decor"-style retail debt?</t>
  </si>
  <si>
    <t xml:space="preserve">American Express</t>
  </si>
  <si>
    <t xml:space="preserve">NOT seen in statements</t>
  </si>
  <si>
    <t xml:space="preserve">On your list but NO Amex payments found in any of 3 statements. Pay it from another account? Or no payments being made?</t>
  </si>
  <si>
    <t xml:space="preserve">BrightWay</t>
  </si>
  <si>
    <t xml:space="preserve">NOT seen - confirm</t>
  </si>
  <si>
    <t xml:space="preserve">On your list. Could be the Mastercard 5494...88 above. Need to confirm.</t>
  </si>
  <si>
    <t xml:space="preserve">Concora / Indigo</t>
  </si>
  <si>
    <t xml:space="preserve">BNPL &amp; RETAIL INSTALLMENT</t>
  </si>
  <si>
    <t xml:space="preserve">Affirm</t>
  </si>
  <si>
    <t xml:space="preserve">BNPL</t>
  </si>
  <si>
    <t xml:space="preserve">2/17/2026</t>
  </si>
  <si>
    <t xml:space="preserve">Pmt $401.80 on 2/17 — could this be the Narwal robot you listed as Klarna? Verify in Affirm app.</t>
  </si>
  <si>
    <t xml:space="preserve">Klarna (Narwal robot)</t>
  </si>
  <si>
    <t xml:space="preserve">Confirm vs Affirm</t>
  </si>
  <si>
    <t xml:space="preserve">On your list. No Klarna line item seen in statements — but Affirm $401.80 hit may be the same purchase. Verify.</t>
  </si>
  <si>
    <t xml:space="preserve">Floor &amp; Decor (January)</t>
  </si>
  <si>
    <t xml:space="preserve">Retail / BNPL?</t>
  </si>
  <si>
    <t xml:space="preserve">Confirm</t>
  </si>
  <si>
    <t xml:space="preserve">On your list. Not seen by name in statements. Check if billed through Affirm, Klarna, or a store card.</t>
  </si>
  <si>
    <t xml:space="preserve">PERSONAL &amp; AUTO LOANS</t>
  </si>
  <si>
    <t xml:space="preserve">Veridian Credit Union (truck?)</t>
  </si>
  <si>
    <t xml:space="preserve">Auto Loan?</t>
  </si>
  <si>
    <t xml:space="preserve">5/7/2026</t>
  </si>
  <si>
    <t xml:space="preserve">Bi-weekly</t>
  </si>
  <si>
    <t xml:space="preserve">NOT on your original list. $865.69 transferred to VCU every ~2 weeks. Almost certainly truck/vehicle loan. CONFIRM.</t>
  </si>
  <si>
    <t xml:space="preserve">Wells Fargo Personal Loan</t>
  </si>
  <si>
    <t xml:space="preserve">Personal Loan</t>
  </si>
  <si>
    <t xml:space="preserve">4/16/2026</t>
  </si>
  <si>
    <t xml:space="preserve">NOT on your original list. WF Loan Auto Pay $171–$182/mo. Confirm in WF online banking.</t>
  </si>
  <si>
    <t xml:space="preserve">Self / LeadBank (credit builder)</t>
  </si>
  <si>
    <t xml:space="preserve">Credit Builder Loan</t>
  </si>
  <si>
    <t xml:space="preserve">Active - retries</t>
  </si>
  <si>
    <t xml:space="preserve">4/7/2026</t>
  </si>
  <si>
    <t xml:space="preserve">On your list as "Self". Multiple xxxx account suffixes in statements (4315, 6500, 6356, 1608, 7798). May have several Self plans running.</t>
  </si>
  <si>
    <t xml:space="preserve">CASH ADVANCE APPS (HIGH COST)</t>
  </si>
  <si>
    <t xml:space="preserve">Tilt / Empower</t>
  </si>
  <si>
    <t xml:space="preserve">Cash Advance App</t>
  </si>
  <si>
    <t xml:space="preserve">Active - flagged</t>
  </si>
  <si>
    <t xml:space="preserve">Recurring</t>
  </si>
  <si>
    <t xml:space="preserve">NOT on your original list. Cash advances $309–$412 + $8 subs. Effective APR is brutal. PRIORITY to eliminate.</t>
  </si>
  <si>
    <t xml:space="preserve">Brigit</t>
  </si>
  <si>
    <t xml:space="preserve">4/24/2026</t>
  </si>
  <si>
    <t xml:space="preserve">NOT on your original list. $117.99 protection (Feb) + $8.99/mo membership. Cancel after eliminating dependence.</t>
  </si>
  <si>
    <t xml:space="preserve">MORTGAGES</t>
  </si>
  <si>
    <t xml:space="preserve">Weststar Mortgage</t>
  </si>
  <si>
    <t xml:space="preserve">Mortgage</t>
  </si>
  <si>
    <t xml:space="preserve">BEHIND - multiple returns</t>
  </si>
  <si>
    <t xml:space="preserve">CRITICAL. Pmt $3,083.04. Returned 4/2 and 5/4. Partial pmts $2,200 + $1,200 made 4/23 &amp; 5/7. You are catching up via split pmts.</t>
  </si>
  <si>
    <t xml:space="preserve">Huntington National Mortgage</t>
  </si>
  <si>
    <t xml:space="preserve">RETURNED - second property?</t>
  </si>
  <si>
    <t xml:space="preserve">3/11/2026</t>
  </si>
  <si>
    <t xml:space="preserve">NOT clearly on your list. $2,000 payment attempt returned 3/11. Do you own 2 properties? Or refinanced?</t>
  </si>
  <si>
    <t xml:space="preserve">GOVERNMENT / TAX DEBT</t>
  </si>
  <si>
    <t xml:space="preserve">IRS (federal taxes)</t>
  </si>
  <si>
    <t xml:space="preserve">Tax Debt</t>
  </si>
  <si>
    <t xml:space="preserve">As able</t>
  </si>
  <si>
    <t xml:space="preserve">$2,000 IRS payment 2/17 (likely toward filing or installment).</t>
  </si>
  <si>
    <t xml:space="preserve">Iowa Dept of Revenue (garnishment)</t>
  </si>
  <si>
    <t xml:space="preserve">Tax Debt - garnished</t>
  </si>
  <si>
    <t xml:space="preserve">ACTIVE GARNISHMENT</t>
  </si>
  <si>
    <t xml:space="preserve">3/31/2026</t>
  </si>
  <si>
    <t xml:space="preserve">Per legal order</t>
  </si>
  <si>
    <t xml:space="preserve">Legal Order Debit Case #25626026 on 3/31 for $16.93. Plus voluntary pmts $100 + $316.17 (Feb), $500 (Mar). Was on your list.</t>
  </si>
  <si>
    <t xml:space="preserve">Federal Student Loans (Dept Ed)</t>
  </si>
  <si>
    <t xml:space="preserve">Student Loan</t>
  </si>
  <si>
    <t xml:space="preserve">Dept of Education $515.70 on 2/17. Did not see April or May payment — confirm if still in repayment.</t>
  </si>
  <si>
    <t xml:space="preserve">LEGAL / OTHER</t>
  </si>
  <si>
    <t xml:space="preserve">Epping Law Office</t>
  </si>
  <si>
    <t xml:space="preserve">Legal / Settlement</t>
  </si>
  <si>
    <t xml:space="preserve">Active - recurring</t>
  </si>
  <si>
    <t xml:space="preserve">3/9/2026</t>
  </si>
  <si>
    <t xml:space="preserve">Pmt $513.75 on 2/17 and 3/9. This is likely the "insurance lawsuit" payment you mentioned. CONFIRM payoff balance.</t>
  </si>
  <si>
    <t xml:space="preserve">RD Henry</t>
  </si>
  <si>
    <t xml:space="preserve">Unknown</t>
  </si>
  <si>
    <t xml:space="preserve">NOT seen</t>
  </si>
  <si>
    <t xml:space="preserve">On your list. NOT found in any statement. Pay it from another account? Or invoice-only?</t>
  </si>
  <si>
    <t xml:space="preserve">Thomas Foster (Bill Pay 3/17)</t>
  </si>
  <si>
    <t xml:space="preserve">One-time?</t>
  </si>
  <si>
    <t xml:space="preserve">3/17/2026</t>
  </si>
  <si>
    <t xml:space="preserve">$2,500 bill-pay to Thomas Foster on 3/17. Unclear if recurring debt or one-time. Confirm what this was.</t>
  </si>
  <si>
    <t xml:space="preserve">TOTALS</t>
  </si>
  <si>
    <t xml:space="preserve">What I Found vs. Your Original List</t>
  </si>
  <si>
    <t xml:space="preserve">✅ ON YOUR LIST — CONFIRMED IN STATEMENTS</t>
  </si>
  <si>
    <t xml:space="preserve">Pmt $357.16/mo seen Feb &amp; Mar</t>
  </si>
  <si>
    <t xml:space="preserve">Chase</t>
  </si>
  <si>
    <t xml:space="preserve">Pmt has dropped from $261 → $87/mo</t>
  </si>
  <si>
    <t xml:space="preserve">$13–$326 pmts seen</t>
  </si>
  <si>
    <t xml:space="preserve">Self</t>
  </si>
  <si>
    <t xml:space="preserve">Multiple Leadbank/Self plans running</t>
  </si>
  <si>
    <t xml:space="preserve">Garnishment (Iowa DOR)</t>
  </si>
  <si>
    <t xml:space="preserve">Legal order $16.93 on 3/31 + voluntary pmts</t>
  </si>
  <si>
    <t xml:space="preserve">Student loans</t>
  </si>
  <si>
    <t xml:space="preserve">Dept of Ed $515.70 (Feb only — confirm Apr/May)</t>
  </si>
  <si>
    <t xml:space="preserve">Taxes (IRS)</t>
  </si>
  <si>
    <t xml:space="preserve">$2,000 paid 2/17</t>
  </si>
  <si>
    <t xml:space="preserve">Insurance lawsuit</t>
  </si>
  <si>
    <t xml:space="preserve">Almost certainly Epping Law Office at $513.75/mo</t>
  </si>
  <si>
    <t xml:space="preserve">Truck</t>
  </si>
  <si>
    <t xml:space="preserve">Almost certainly Veridian CU at $865.69 biweekly</t>
  </si>
  <si>
    <t xml:space="preserve">⚠️ ON YOUR LIST — NOT FOUND OR NEEDS CONFIRMATION</t>
  </si>
  <si>
    <t xml:space="preserve">NO Amex line items in any of 3 statements. Pay it from another bank?</t>
  </si>
  <si>
    <t xml:space="preserve">Possibly the unidentified Mastercard ending 5494...88 ($413.21)</t>
  </si>
  <si>
    <t xml:space="preserve">Concora Indigo</t>
  </si>
  <si>
    <t xml:space="preserve">Possibly the unidentified Mastercard ending 5494...88 — only one card hits this acct</t>
  </si>
  <si>
    <t xml:space="preserve">No Klarna line found. Affirm $401.80 may be the same purchase via different lender</t>
  </si>
  <si>
    <t xml:space="preserve">NOT found in statements. Pay from another acct? Or invoiced?</t>
  </si>
  <si>
    <t xml:space="preserve">January Floor &amp; Decor</t>
  </si>
  <si>
    <t xml:space="preserve">Not by name. Possibly bundled into a credit card or a BNPL</t>
  </si>
  <si>
    <t xml:space="preserve">🆕 NOT ON YOUR LIST — FOUND IN STATEMENTS (ADD THESE)</t>
  </si>
  <si>
    <t xml:space="preserve">Auto-pay $171–$182/mo — was this on your radar?</t>
  </si>
  <si>
    <t xml:space="preserve">Veridian CU (Truck?)</t>
  </si>
  <si>
    <t xml:space="preserve">$865.69 biweekly transfer — biggest single recurring outflow</t>
  </si>
  <si>
    <t xml:space="preserve">Best Buy card</t>
  </si>
  <si>
    <t xml:space="preserve">$85/mo auto-pay</t>
  </si>
  <si>
    <t xml:space="preserve">Lowe's card</t>
  </si>
  <si>
    <t xml:space="preserve">$149–$327 monthly, sometimes returns</t>
  </si>
  <si>
    <t xml:space="preserve">$401.80 — likely Narwal or similar BNPL</t>
  </si>
  <si>
    <t xml:space="preserve">Tilt / Empower (cash advance app)</t>
  </si>
  <si>
    <t xml:space="preserve">$309–$412/mo cycle — predatory, prioritize eliminating</t>
  </si>
  <si>
    <t xml:space="preserve">Brigit (cash advance app)</t>
  </si>
  <si>
    <t xml:space="preserve">$8.99/mo + $117.99 protection — cancel after eliminating dependence</t>
  </si>
  <si>
    <t xml:space="preserve">$2,000 attempt returned 3/11 — second property? Refinance attempt?</t>
  </si>
  <si>
    <t xml:space="preserve">$3,083/mo — primary mortgage. CURRENTLY BEHIND with partial pmts</t>
  </si>
  <si>
    <t xml:space="preserve">Thomas Foster (3/17 bill pay)</t>
  </si>
  <si>
    <t xml:space="preserve">$2,500 — identify what this is</t>
  </si>
  <si>
    <t xml:space="preserve">🔴 RED FLAGS</t>
  </si>
  <si>
    <t xml:space="preserve">Account ended May 7 at -$2,073.06</t>
  </si>
  <si>
    <t xml:space="preserve">Account is overdrawn. Wells Fargo charges off after 60 days overdrawn.</t>
  </si>
  <si>
    <t xml:space="preserve">Weststar mortgage behind</t>
  </si>
  <si>
    <t xml:space="preserve">Returned twice; you are catching up with partial pmts. Highest priority.</t>
  </si>
  <si>
    <t xml:space="preserve">Multiple cash advance apps</t>
  </si>
  <si>
    <t xml:space="preserve">Tilt + Brigit overlap is a debt trap. Replacing these with a small emergency buffer would save real money.</t>
  </si>
  <si>
    <t xml:space="preserve">Returns are piling up</t>
  </si>
  <si>
    <t xml:space="preserve">5 returned items in March/April statement, 4 in May. Each may have NSF/overdraft fees from creditors.</t>
  </si>
  <si>
    <t xml:space="preserve">Income gap</t>
  </si>
  <si>
    <t xml:space="preserve">Your direct deposit went from $18,380.27 (2/13 lump) to ~$2,257.94 biweekly. If this is the new baseline, current debt load is not sustainable.</t>
  </si>
  <si>
    <t xml:space="preserve">To Unlock the Real Plan: Fill in Balance, APR, and Min Payment</t>
  </si>
  <si>
    <t xml:space="preserve">1. Pull a credit report</t>
  </si>
  <si>
    <t xml:space="preserve">Go to annualcreditreport.com (free). This will reveal Amex, RD Henry, anything else not in the bank statements, plus current balances and minimums on everything.</t>
  </si>
  <si>
    <t xml:space="preserve">2. Empty your wallet</t>
  </si>
  <si>
    <t xml:space="preserve">Pull every physical card. Log into each issuer site. Record balance + APR + min pmt in the yellow cells of the Debt Tracker sheet.</t>
  </si>
  <si>
    <t xml:space="preserve">3. Identify the mystery Mastercard 5494...88</t>
  </si>
  <si>
    <t xml:space="preserve">Open WF online banking → find the merchant info. Match it to BrightWay, Concora, or Indigo.</t>
  </si>
  <si>
    <t xml:space="preserve">4. Confirm Klarna vs Affirm</t>
  </si>
  <si>
    <t xml:space="preserve">Log into Klarna app and Affirm app. The Narwal robot purchase will show up on one of them.</t>
  </si>
  <si>
    <t xml:space="preserve">5. Confirm the second mortgage</t>
  </si>
  <si>
    <t xml:space="preserve">Huntington National attempted $2,000 on 3/11 (returned). Is this a second property or a refi attempt? Call Huntington if unsure.</t>
  </si>
  <si>
    <t xml:space="preserve">6. Get current on Weststar</t>
  </si>
  <si>
    <t xml:space="preserve">Highest priority. Talk to Weststar about a forbearance or repayment plan before another return hits.</t>
  </si>
  <si>
    <t xml:space="preserve">7. Once balances/APRs are in</t>
  </si>
  <si>
    <t xml:space="preserve">I can build an avalanche (highest APR first) or snowball (smallest balance first) payoff plan, and project a debt-free date based on extra payment available.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</si>
</sst>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;&quot;($&quot;#,##0.00\);\-"/>
    <numFmt numFmtId="166" formatCode="0.00%"/>
    <numFmt numFmtId="167" formatCode="\$#,##0.00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4"/>
      <color rgb="FF1F4E78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10"/>
      <name val="Arial"/>
      <family val="0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1F2"/>
        <bgColor rgb="FFC6E0B4"/>
      </patternFill>
    </fill>
    <fill>
      <patternFill patternType="solid">
        <fgColor rgb="FFFFE699"/>
        <bgColor rgb="FFFFCC99"/>
      </patternFill>
    </fill>
    <fill>
      <patternFill patternType="solid">
        <fgColor rgb="FFC6E0B4"/>
        <bgColor rgb="FFD9E1F2"/>
      </patternFill>
    </fill>
    <fill>
      <patternFill patternType="solid">
        <fgColor rgb="FF70AD47"/>
        <bgColor rgb="FF339966"/>
      </patternFill>
    </fill>
    <fill>
      <patternFill patternType="solid">
        <fgColor rgb="FFED7D31"/>
        <bgColor rgb="FFFF808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9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7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8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0B4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D7D31"/>
      <rgbColor rgb="FF595959"/>
      <rgbColor rgb="FF70AD47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14"/>
    <col collapsed="false" customWidth="true" hidden="false" outlineLevel="0" max="5" min="5" style="0" width="10"/>
    <col collapsed="false" customWidth="true" hidden="false" outlineLevel="0" max="6" min="6" style="0" width="15"/>
    <col collapsed="false" customWidth="true" hidden="false" outlineLevel="0" max="7" min="7" style="0" width="16"/>
    <col collapsed="false" customWidth="true" hidden="false" outlineLevel="0" max="8" min="8" style="0" width="14"/>
    <col collapsed="false" customWidth="true" hidden="false" outlineLevel="0" max="9" min="9" style="0" width="12"/>
    <col collapsed="false" customWidth="true" hidden="false" outlineLevel="0" max="10" min="10" style="0" width="60"/>
  </cols>
  <sheetData>
    <row r="1" customFormat="false" ht="19.7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customFormat="false" ht="31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37.5" hidden="false" customHeight="true" outlineLevel="0" collapsed="false">
      <c r="A5" s="4" t="s">
        <v>12</v>
      </c>
      <c r="B5" s="4"/>
      <c r="C5" s="4"/>
      <c r="D5" s="5"/>
      <c r="E5" s="6"/>
      <c r="F5" s="5"/>
      <c r="G5" s="5"/>
      <c r="H5" s="4"/>
      <c r="I5" s="4"/>
      <c r="J5" s="4"/>
    </row>
    <row r="6" customFormat="false" ht="37.5" hidden="false" customHeight="true" outlineLevel="0" collapsed="false">
      <c r="A6" s="7" t="s">
        <v>13</v>
      </c>
      <c r="B6" s="7" t="s">
        <v>14</v>
      </c>
      <c r="C6" s="7" t="s">
        <v>15</v>
      </c>
      <c r="D6" s="8"/>
      <c r="E6" s="9"/>
      <c r="F6" s="8"/>
      <c r="G6" s="10" t="n">
        <v>357.16</v>
      </c>
      <c r="H6" s="7" t="s">
        <v>16</v>
      </c>
      <c r="I6" s="7" t="s">
        <v>17</v>
      </c>
      <c r="J6" s="7" t="s">
        <v>18</v>
      </c>
    </row>
    <row r="7" customFormat="false" ht="37.5" hidden="false" customHeight="true" outlineLevel="0" collapsed="false">
      <c r="A7" s="7" t="s">
        <v>19</v>
      </c>
      <c r="B7" s="7" t="s">
        <v>14</v>
      </c>
      <c r="C7" s="7" t="s">
        <v>20</v>
      </c>
      <c r="D7" s="8"/>
      <c r="E7" s="9"/>
      <c r="F7" s="8"/>
      <c r="G7" s="10" t="n">
        <v>87</v>
      </c>
      <c r="H7" s="7" t="s">
        <v>21</v>
      </c>
      <c r="I7" s="7" t="s">
        <v>17</v>
      </c>
      <c r="J7" s="7" t="s">
        <v>22</v>
      </c>
    </row>
    <row r="8" customFormat="false" ht="37.5" hidden="false" customHeight="true" outlineLevel="0" collapsed="false">
      <c r="A8" s="7" t="s">
        <v>23</v>
      </c>
      <c r="B8" s="7" t="s">
        <v>14</v>
      </c>
      <c r="C8" s="7" t="s">
        <v>15</v>
      </c>
      <c r="D8" s="8"/>
      <c r="E8" s="9"/>
      <c r="F8" s="8"/>
      <c r="G8" s="10" t="n">
        <v>202.06</v>
      </c>
      <c r="H8" s="7" t="s">
        <v>24</v>
      </c>
      <c r="I8" s="7" t="s">
        <v>17</v>
      </c>
      <c r="J8" s="7" t="s">
        <v>25</v>
      </c>
    </row>
    <row r="9" customFormat="false" ht="37.5" hidden="false" customHeight="true" outlineLevel="0" collapsed="false">
      <c r="A9" s="7" t="s">
        <v>26</v>
      </c>
      <c r="B9" s="7" t="s">
        <v>14</v>
      </c>
      <c r="C9" s="7" t="s">
        <v>15</v>
      </c>
      <c r="D9" s="8"/>
      <c r="E9" s="9"/>
      <c r="F9" s="8"/>
      <c r="G9" s="10" t="n">
        <v>413.21</v>
      </c>
      <c r="H9" s="7" t="s">
        <v>27</v>
      </c>
      <c r="I9" s="7" t="s">
        <v>17</v>
      </c>
      <c r="J9" s="7" t="s">
        <v>28</v>
      </c>
    </row>
    <row r="10" customFormat="false" ht="37.5" hidden="false" customHeight="true" outlineLevel="0" collapsed="false">
      <c r="A10" s="7" t="s">
        <v>29</v>
      </c>
      <c r="B10" s="7" t="s">
        <v>14</v>
      </c>
      <c r="C10" s="7" t="s">
        <v>30</v>
      </c>
      <c r="D10" s="8"/>
      <c r="E10" s="9"/>
      <c r="F10" s="8"/>
      <c r="G10" s="10" t="n">
        <v>85</v>
      </c>
      <c r="H10" s="7" t="s">
        <v>31</v>
      </c>
      <c r="I10" s="7" t="s">
        <v>17</v>
      </c>
      <c r="J10" s="7" t="s">
        <v>32</v>
      </c>
    </row>
    <row r="11" customFormat="false" ht="37.5" hidden="false" customHeight="true" outlineLevel="0" collapsed="false">
      <c r="A11" s="7" t="s">
        <v>33</v>
      </c>
      <c r="B11" s="7" t="s">
        <v>14</v>
      </c>
      <c r="C11" s="7" t="s">
        <v>34</v>
      </c>
      <c r="D11" s="8"/>
      <c r="E11" s="9"/>
      <c r="F11" s="8"/>
      <c r="G11" s="10" t="n">
        <v>327</v>
      </c>
      <c r="H11" s="7" t="s">
        <v>35</v>
      </c>
      <c r="I11" s="7" t="s">
        <v>17</v>
      </c>
      <c r="J11" s="7" t="s">
        <v>36</v>
      </c>
    </row>
    <row r="12" customFormat="false" ht="37.5" hidden="false" customHeight="true" outlineLevel="0" collapsed="false">
      <c r="A12" s="7" t="s">
        <v>37</v>
      </c>
      <c r="B12" s="7" t="s">
        <v>14</v>
      </c>
      <c r="C12" s="7" t="s">
        <v>38</v>
      </c>
      <c r="D12" s="8"/>
      <c r="E12" s="9"/>
      <c r="F12" s="8"/>
      <c r="G12" s="10"/>
      <c r="H12" s="7"/>
      <c r="I12" s="7"/>
      <c r="J12" s="7" t="s">
        <v>39</v>
      </c>
    </row>
    <row r="13" customFormat="false" ht="37.5" hidden="false" customHeight="true" outlineLevel="0" collapsed="false">
      <c r="A13" s="7" t="s">
        <v>40</v>
      </c>
      <c r="B13" s="7" t="s">
        <v>14</v>
      </c>
      <c r="C13" s="7" t="s">
        <v>41</v>
      </c>
      <c r="D13" s="8"/>
      <c r="E13" s="9"/>
      <c r="F13" s="8"/>
      <c r="G13" s="10"/>
      <c r="H13" s="7"/>
      <c r="I13" s="7"/>
      <c r="J13" s="7" t="s">
        <v>42</v>
      </c>
    </row>
    <row r="14" customFormat="false" ht="37.5" hidden="false" customHeight="true" outlineLevel="0" collapsed="false">
      <c r="A14" s="7" t="s">
        <v>43</v>
      </c>
      <c r="B14" s="7" t="s">
        <v>14</v>
      </c>
      <c r="C14" s="7" t="s">
        <v>41</v>
      </c>
      <c r="D14" s="8"/>
      <c r="E14" s="9"/>
      <c r="F14" s="8"/>
      <c r="G14" s="10"/>
      <c r="H14" s="7"/>
      <c r="I14" s="7"/>
      <c r="J14" s="7" t="s">
        <v>42</v>
      </c>
    </row>
    <row r="15" customFormat="false" ht="37.5" hidden="false" customHeight="true" outlineLevel="0" collapsed="false">
      <c r="A15" s="4" t="s">
        <v>44</v>
      </c>
      <c r="B15" s="4"/>
      <c r="C15" s="4"/>
      <c r="D15" s="5"/>
      <c r="E15" s="6"/>
      <c r="F15" s="5"/>
      <c r="G15" s="5"/>
      <c r="H15" s="4"/>
      <c r="I15" s="4"/>
      <c r="J15" s="4"/>
    </row>
    <row r="16" customFormat="false" ht="37.5" hidden="false" customHeight="true" outlineLevel="0" collapsed="false">
      <c r="A16" s="7" t="s">
        <v>45</v>
      </c>
      <c r="B16" s="7" t="s">
        <v>46</v>
      </c>
      <c r="C16" s="7" t="s">
        <v>15</v>
      </c>
      <c r="D16" s="8"/>
      <c r="E16" s="9"/>
      <c r="F16" s="8"/>
      <c r="G16" s="10" t="n">
        <v>401.8</v>
      </c>
      <c r="H16" s="7" t="s">
        <v>47</v>
      </c>
      <c r="I16" s="7" t="s">
        <v>17</v>
      </c>
      <c r="J16" s="7" t="s">
        <v>48</v>
      </c>
    </row>
    <row r="17" customFormat="false" ht="37.5" hidden="false" customHeight="true" outlineLevel="0" collapsed="false">
      <c r="A17" s="7" t="s">
        <v>49</v>
      </c>
      <c r="B17" s="7" t="s">
        <v>46</v>
      </c>
      <c r="C17" s="7" t="s">
        <v>50</v>
      </c>
      <c r="D17" s="8"/>
      <c r="E17" s="9"/>
      <c r="F17" s="8"/>
      <c r="G17" s="10"/>
      <c r="H17" s="7"/>
      <c r="I17" s="7"/>
      <c r="J17" s="7" t="s">
        <v>51</v>
      </c>
    </row>
    <row r="18" customFormat="false" ht="37.5" hidden="false" customHeight="true" outlineLevel="0" collapsed="false">
      <c r="A18" s="7" t="s">
        <v>52</v>
      </c>
      <c r="B18" s="7" t="s">
        <v>53</v>
      </c>
      <c r="C18" s="7" t="s">
        <v>54</v>
      </c>
      <c r="D18" s="8"/>
      <c r="E18" s="9"/>
      <c r="F18" s="8"/>
      <c r="G18" s="10"/>
      <c r="H18" s="7"/>
      <c r="I18" s="7"/>
      <c r="J18" s="7" t="s">
        <v>55</v>
      </c>
    </row>
    <row r="19" customFormat="false" ht="37.5" hidden="false" customHeight="true" outlineLevel="0" collapsed="false">
      <c r="A19" s="4" t="s">
        <v>56</v>
      </c>
      <c r="B19" s="4"/>
      <c r="C19" s="4"/>
      <c r="D19" s="5"/>
      <c r="E19" s="6"/>
      <c r="F19" s="5"/>
      <c r="G19" s="5"/>
      <c r="H19" s="4"/>
      <c r="I19" s="4"/>
      <c r="J19" s="4"/>
    </row>
    <row r="20" customFormat="false" ht="37.5" hidden="false" customHeight="true" outlineLevel="0" collapsed="false">
      <c r="A20" s="7" t="s">
        <v>57</v>
      </c>
      <c r="B20" s="7" t="s">
        <v>58</v>
      </c>
      <c r="C20" s="7" t="s">
        <v>15</v>
      </c>
      <c r="D20" s="8"/>
      <c r="E20" s="9"/>
      <c r="F20" s="8"/>
      <c r="G20" s="10" t="n">
        <v>865.69</v>
      </c>
      <c r="H20" s="7" t="s">
        <v>59</v>
      </c>
      <c r="I20" s="7" t="s">
        <v>60</v>
      </c>
      <c r="J20" s="7" t="s">
        <v>61</v>
      </c>
    </row>
    <row r="21" customFormat="false" ht="37.5" hidden="false" customHeight="true" outlineLevel="0" collapsed="false">
      <c r="A21" s="7" t="s">
        <v>62</v>
      </c>
      <c r="B21" s="7" t="s">
        <v>63</v>
      </c>
      <c r="C21" s="7" t="s">
        <v>30</v>
      </c>
      <c r="D21" s="8"/>
      <c r="E21" s="9"/>
      <c r="F21" s="8"/>
      <c r="G21" s="10" t="n">
        <v>178</v>
      </c>
      <c r="H21" s="7" t="s">
        <v>64</v>
      </c>
      <c r="I21" s="7" t="s">
        <v>17</v>
      </c>
      <c r="J21" s="7" t="s">
        <v>65</v>
      </c>
    </row>
    <row r="22" customFormat="false" ht="37.5" hidden="false" customHeight="true" outlineLevel="0" collapsed="false">
      <c r="A22" s="7" t="s">
        <v>66</v>
      </c>
      <c r="B22" s="7" t="s">
        <v>67</v>
      </c>
      <c r="C22" s="7" t="s">
        <v>68</v>
      </c>
      <c r="D22" s="8"/>
      <c r="E22" s="9"/>
      <c r="F22" s="8"/>
      <c r="G22" s="10" t="n">
        <v>107.72</v>
      </c>
      <c r="H22" s="7" t="s">
        <v>69</v>
      </c>
      <c r="I22" s="7" t="s">
        <v>17</v>
      </c>
      <c r="J22" s="7" t="s">
        <v>70</v>
      </c>
    </row>
    <row r="23" customFormat="false" ht="37.5" hidden="false" customHeight="true" outlineLevel="0" collapsed="false">
      <c r="A23" s="4" t="s">
        <v>71</v>
      </c>
      <c r="B23" s="4"/>
      <c r="C23" s="4"/>
      <c r="D23" s="5"/>
      <c r="E23" s="6"/>
      <c r="F23" s="5"/>
      <c r="G23" s="5"/>
      <c r="H23" s="4"/>
      <c r="I23" s="4"/>
      <c r="J23" s="4"/>
    </row>
    <row r="24" customFormat="false" ht="37.5" hidden="false" customHeight="true" outlineLevel="0" collapsed="false">
      <c r="A24" s="7" t="s">
        <v>72</v>
      </c>
      <c r="B24" s="7" t="s">
        <v>73</v>
      </c>
      <c r="C24" s="7" t="s">
        <v>74</v>
      </c>
      <c r="D24" s="8"/>
      <c r="E24" s="9"/>
      <c r="F24" s="8"/>
      <c r="G24" s="10" t="n">
        <v>412</v>
      </c>
      <c r="H24" s="7" t="s">
        <v>21</v>
      </c>
      <c r="I24" s="7" t="s">
        <v>75</v>
      </c>
      <c r="J24" s="7" t="s">
        <v>76</v>
      </c>
    </row>
    <row r="25" customFormat="false" ht="37.5" hidden="false" customHeight="true" outlineLevel="0" collapsed="false">
      <c r="A25" s="7" t="s">
        <v>77</v>
      </c>
      <c r="B25" s="7" t="s">
        <v>73</v>
      </c>
      <c r="C25" s="7" t="s">
        <v>74</v>
      </c>
      <c r="D25" s="8"/>
      <c r="E25" s="9"/>
      <c r="F25" s="8"/>
      <c r="G25" s="10" t="n">
        <v>8.99</v>
      </c>
      <c r="H25" s="7" t="s">
        <v>78</v>
      </c>
      <c r="I25" s="7" t="s">
        <v>17</v>
      </c>
      <c r="J25" s="7" t="s">
        <v>79</v>
      </c>
    </row>
    <row r="26" customFormat="false" ht="37.5" hidden="false" customHeight="true" outlineLevel="0" collapsed="false">
      <c r="A26" s="4" t="s">
        <v>80</v>
      </c>
      <c r="B26" s="4"/>
      <c r="C26" s="4"/>
      <c r="D26" s="5"/>
      <c r="E26" s="6"/>
      <c r="F26" s="5"/>
      <c r="G26" s="5"/>
      <c r="H26" s="4"/>
      <c r="I26" s="4"/>
      <c r="J26" s="4"/>
    </row>
    <row r="27" customFormat="false" ht="37.5" hidden="false" customHeight="true" outlineLevel="0" collapsed="false">
      <c r="A27" s="7" t="s">
        <v>81</v>
      </c>
      <c r="B27" s="7" t="s">
        <v>82</v>
      </c>
      <c r="C27" s="7" t="s">
        <v>83</v>
      </c>
      <c r="D27" s="8"/>
      <c r="E27" s="9"/>
      <c r="F27" s="8"/>
      <c r="G27" s="10" t="n">
        <v>3083.04</v>
      </c>
      <c r="H27" s="7" t="s">
        <v>59</v>
      </c>
      <c r="I27" s="7" t="s">
        <v>17</v>
      </c>
      <c r="J27" s="7" t="s">
        <v>84</v>
      </c>
    </row>
    <row r="28" customFormat="false" ht="37.5" hidden="false" customHeight="true" outlineLevel="0" collapsed="false">
      <c r="A28" s="7" t="s">
        <v>85</v>
      </c>
      <c r="B28" s="7" t="s">
        <v>82</v>
      </c>
      <c r="C28" s="7" t="s">
        <v>86</v>
      </c>
      <c r="D28" s="8"/>
      <c r="E28" s="9"/>
      <c r="F28" s="8"/>
      <c r="G28" s="10" t="n">
        <v>2000</v>
      </c>
      <c r="H28" s="7" t="s">
        <v>87</v>
      </c>
      <c r="I28" s="7" t="s">
        <v>17</v>
      </c>
      <c r="J28" s="7" t="s">
        <v>88</v>
      </c>
    </row>
    <row r="29" customFormat="false" ht="37.5" hidden="false" customHeight="true" outlineLevel="0" collapsed="false">
      <c r="A29" s="4" t="s">
        <v>89</v>
      </c>
      <c r="B29" s="4"/>
      <c r="C29" s="4"/>
      <c r="D29" s="5"/>
      <c r="E29" s="6"/>
      <c r="F29" s="5"/>
      <c r="G29" s="5"/>
      <c r="H29" s="4"/>
      <c r="I29" s="4"/>
      <c r="J29" s="4"/>
    </row>
    <row r="30" customFormat="false" ht="37.5" hidden="false" customHeight="true" outlineLevel="0" collapsed="false">
      <c r="A30" s="7" t="s">
        <v>90</v>
      </c>
      <c r="B30" s="7" t="s">
        <v>91</v>
      </c>
      <c r="C30" s="7" t="s">
        <v>15</v>
      </c>
      <c r="D30" s="8"/>
      <c r="E30" s="9"/>
      <c r="F30" s="8"/>
      <c r="G30" s="10" t="n">
        <v>2000</v>
      </c>
      <c r="H30" s="7" t="s">
        <v>47</v>
      </c>
      <c r="I30" s="7" t="s">
        <v>92</v>
      </c>
      <c r="J30" s="7" t="s">
        <v>93</v>
      </c>
    </row>
    <row r="31" customFormat="false" ht="37.5" hidden="false" customHeight="true" outlineLevel="0" collapsed="false">
      <c r="A31" s="7" t="s">
        <v>94</v>
      </c>
      <c r="B31" s="7" t="s">
        <v>95</v>
      </c>
      <c r="C31" s="7" t="s">
        <v>96</v>
      </c>
      <c r="D31" s="8"/>
      <c r="E31" s="9"/>
      <c r="F31" s="8"/>
      <c r="G31" s="10" t="n">
        <v>16.93</v>
      </c>
      <c r="H31" s="7" t="s">
        <v>97</v>
      </c>
      <c r="I31" s="7" t="s">
        <v>98</v>
      </c>
      <c r="J31" s="7" t="s">
        <v>99</v>
      </c>
    </row>
    <row r="32" customFormat="false" ht="37.5" hidden="false" customHeight="true" outlineLevel="0" collapsed="false">
      <c r="A32" s="7" t="s">
        <v>100</v>
      </c>
      <c r="B32" s="7" t="s">
        <v>101</v>
      </c>
      <c r="C32" s="7" t="s">
        <v>15</v>
      </c>
      <c r="D32" s="8"/>
      <c r="E32" s="9"/>
      <c r="F32" s="8"/>
      <c r="G32" s="10" t="n">
        <v>515.7</v>
      </c>
      <c r="H32" s="7" t="s">
        <v>47</v>
      </c>
      <c r="I32" s="7" t="s">
        <v>17</v>
      </c>
      <c r="J32" s="7" t="s">
        <v>102</v>
      </c>
    </row>
    <row r="33" customFormat="false" ht="37.5" hidden="false" customHeight="true" outlineLevel="0" collapsed="false">
      <c r="A33" s="4" t="s">
        <v>103</v>
      </c>
      <c r="B33" s="4"/>
      <c r="C33" s="4"/>
      <c r="D33" s="5"/>
      <c r="E33" s="6"/>
      <c r="F33" s="5"/>
      <c r="G33" s="5"/>
      <c r="H33" s="4"/>
      <c r="I33" s="4"/>
      <c r="J33" s="4"/>
    </row>
    <row r="34" customFormat="false" ht="37.5" hidden="false" customHeight="true" outlineLevel="0" collapsed="false">
      <c r="A34" s="7" t="s">
        <v>104</v>
      </c>
      <c r="B34" s="7" t="s">
        <v>105</v>
      </c>
      <c r="C34" s="7" t="s">
        <v>106</v>
      </c>
      <c r="D34" s="8"/>
      <c r="E34" s="9"/>
      <c r="F34" s="8"/>
      <c r="G34" s="10" t="n">
        <v>513.75</v>
      </c>
      <c r="H34" s="7" t="s">
        <v>107</v>
      </c>
      <c r="I34" s="7" t="s">
        <v>17</v>
      </c>
      <c r="J34" s="7" t="s">
        <v>108</v>
      </c>
    </row>
    <row r="35" customFormat="false" ht="37.5" hidden="false" customHeight="true" outlineLevel="0" collapsed="false">
      <c r="A35" s="7" t="s">
        <v>109</v>
      </c>
      <c r="B35" s="7" t="s">
        <v>110</v>
      </c>
      <c r="C35" s="7" t="s">
        <v>111</v>
      </c>
      <c r="D35" s="8"/>
      <c r="E35" s="9"/>
      <c r="F35" s="8"/>
      <c r="G35" s="10"/>
      <c r="H35" s="7"/>
      <c r="I35" s="7"/>
      <c r="J35" s="7" t="s">
        <v>112</v>
      </c>
    </row>
    <row r="36" customFormat="false" ht="37.5" hidden="false" customHeight="true" outlineLevel="0" collapsed="false">
      <c r="A36" s="7" t="s">
        <v>113</v>
      </c>
      <c r="B36" s="7" t="s">
        <v>110</v>
      </c>
      <c r="C36" s="7" t="s">
        <v>114</v>
      </c>
      <c r="D36" s="8"/>
      <c r="E36" s="9"/>
      <c r="F36" s="8"/>
      <c r="G36" s="10" t="n">
        <v>2500</v>
      </c>
      <c r="H36" s="7" t="s">
        <v>115</v>
      </c>
      <c r="I36" s="7" t="s">
        <v>114</v>
      </c>
      <c r="J36" s="7" t="s">
        <v>116</v>
      </c>
    </row>
    <row r="38" customFormat="false" ht="15" hidden="false" customHeight="false" outlineLevel="0" collapsed="false">
      <c r="A38" s="11" t="s">
        <v>117</v>
      </c>
      <c r="B38" s="12"/>
      <c r="C38" s="12"/>
      <c r="D38" s="13" t="n">
        <f aca="false">SUM(D5:D36)</f>
        <v>0</v>
      </c>
      <c r="E38" s="12"/>
      <c r="F38" s="13" t="n">
        <f aca="false">SUM(F5:F36)</f>
        <v>0</v>
      </c>
      <c r="G38" s="13" t="n">
        <f aca="false">SUM(G5:G36)</f>
        <v>14075.05</v>
      </c>
      <c r="H38" s="12"/>
      <c r="I38" s="12"/>
      <c r="J38" s="12"/>
    </row>
  </sheetData>
  <mergeCells count="2">
    <mergeCell ref="A1:J1"/>
    <mergeCell ref="A2:J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3" min="2" style="0" width="40"/>
  </cols>
  <sheetData>
    <row r="1" customFormat="false" ht="17.35" hidden="false" customHeight="false" outlineLevel="0" collapsed="false">
      <c r="A1" s="14" t="s">
        <v>118</v>
      </c>
      <c r="B1" s="14"/>
      <c r="C1" s="14"/>
    </row>
    <row r="3" customFormat="false" ht="15" hidden="false" customHeight="false" outlineLevel="0" collapsed="false">
      <c r="A3" s="15" t="s">
        <v>119</v>
      </c>
      <c r="B3" s="15"/>
      <c r="C3" s="15"/>
    </row>
    <row r="4" customFormat="false" ht="30" hidden="false" customHeight="true" outlineLevel="0" collapsed="false">
      <c r="A4" s="16" t="s">
        <v>13</v>
      </c>
      <c r="B4" s="17" t="s">
        <v>120</v>
      </c>
      <c r="C4" s="17"/>
    </row>
    <row r="5" customFormat="false" ht="30" hidden="false" customHeight="true" outlineLevel="0" collapsed="false">
      <c r="A5" s="16" t="s">
        <v>121</v>
      </c>
      <c r="B5" s="17" t="s">
        <v>122</v>
      </c>
      <c r="C5" s="17"/>
    </row>
    <row r="6" customFormat="false" ht="30" hidden="false" customHeight="true" outlineLevel="0" collapsed="false">
      <c r="A6" s="16" t="s">
        <v>23</v>
      </c>
      <c r="B6" s="17" t="s">
        <v>123</v>
      </c>
      <c r="C6" s="17"/>
    </row>
    <row r="7" customFormat="false" ht="30" hidden="false" customHeight="true" outlineLevel="0" collapsed="false">
      <c r="A7" s="16" t="s">
        <v>124</v>
      </c>
      <c r="B7" s="17" t="s">
        <v>125</v>
      </c>
      <c r="C7" s="17"/>
    </row>
    <row r="8" customFormat="false" ht="30" hidden="false" customHeight="true" outlineLevel="0" collapsed="false">
      <c r="A8" s="16" t="s">
        <v>126</v>
      </c>
      <c r="B8" s="17" t="s">
        <v>127</v>
      </c>
      <c r="C8" s="17"/>
    </row>
    <row r="9" customFormat="false" ht="30" hidden="false" customHeight="true" outlineLevel="0" collapsed="false">
      <c r="A9" s="16" t="s">
        <v>128</v>
      </c>
      <c r="B9" s="17" t="s">
        <v>129</v>
      </c>
      <c r="C9" s="17"/>
    </row>
    <row r="10" customFormat="false" ht="30" hidden="false" customHeight="true" outlineLevel="0" collapsed="false">
      <c r="A10" s="16" t="s">
        <v>130</v>
      </c>
      <c r="B10" s="17" t="s">
        <v>131</v>
      </c>
      <c r="C10" s="17"/>
    </row>
    <row r="11" customFormat="false" ht="30" hidden="false" customHeight="true" outlineLevel="0" collapsed="false">
      <c r="A11" s="16" t="s">
        <v>132</v>
      </c>
      <c r="B11" s="17" t="s">
        <v>133</v>
      </c>
      <c r="C11" s="17"/>
    </row>
    <row r="12" customFormat="false" ht="30" hidden="false" customHeight="true" outlineLevel="0" collapsed="false">
      <c r="A12" s="16" t="s">
        <v>134</v>
      </c>
      <c r="B12" s="17" t="s">
        <v>135</v>
      </c>
      <c r="C12" s="17"/>
    </row>
    <row r="14" customFormat="false" ht="15" hidden="false" customHeight="false" outlineLevel="0" collapsed="false">
      <c r="A14" s="18" t="s">
        <v>136</v>
      </c>
      <c r="B14" s="18"/>
      <c r="C14" s="18"/>
    </row>
    <row r="15" customFormat="false" ht="30" hidden="false" customHeight="true" outlineLevel="0" collapsed="false">
      <c r="A15" s="16" t="s">
        <v>37</v>
      </c>
      <c r="B15" s="17" t="s">
        <v>137</v>
      </c>
      <c r="C15" s="17"/>
    </row>
    <row r="16" customFormat="false" ht="30" hidden="false" customHeight="true" outlineLevel="0" collapsed="false">
      <c r="A16" s="16" t="s">
        <v>40</v>
      </c>
      <c r="B16" s="17" t="s">
        <v>138</v>
      </c>
      <c r="C16" s="17"/>
    </row>
    <row r="17" customFormat="false" ht="30" hidden="false" customHeight="true" outlineLevel="0" collapsed="false">
      <c r="A17" s="16" t="s">
        <v>139</v>
      </c>
      <c r="B17" s="17" t="s">
        <v>140</v>
      </c>
      <c r="C17" s="17"/>
    </row>
    <row r="18" customFormat="false" ht="30" hidden="false" customHeight="true" outlineLevel="0" collapsed="false">
      <c r="A18" s="16" t="s">
        <v>49</v>
      </c>
      <c r="B18" s="17" t="s">
        <v>141</v>
      </c>
      <c r="C18" s="17"/>
    </row>
    <row r="19" customFormat="false" ht="30" hidden="false" customHeight="true" outlineLevel="0" collapsed="false">
      <c r="A19" s="16" t="s">
        <v>109</v>
      </c>
      <c r="B19" s="17" t="s">
        <v>142</v>
      </c>
      <c r="C19" s="17"/>
    </row>
    <row r="20" customFormat="false" ht="30" hidden="false" customHeight="true" outlineLevel="0" collapsed="false">
      <c r="A20" s="16" t="s">
        <v>143</v>
      </c>
      <c r="B20" s="17" t="s">
        <v>144</v>
      </c>
      <c r="C20" s="17"/>
    </row>
    <row r="22" customFormat="false" ht="15" hidden="false" customHeight="false" outlineLevel="0" collapsed="false">
      <c r="A22" s="19" t="s">
        <v>145</v>
      </c>
      <c r="B22" s="19"/>
      <c r="C22" s="19"/>
    </row>
    <row r="23" customFormat="false" ht="30" hidden="false" customHeight="true" outlineLevel="0" collapsed="false">
      <c r="A23" s="16" t="s">
        <v>62</v>
      </c>
      <c r="B23" s="17" t="s">
        <v>146</v>
      </c>
      <c r="C23" s="17"/>
    </row>
    <row r="24" customFormat="false" ht="30" hidden="false" customHeight="true" outlineLevel="0" collapsed="false">
      <c r="A24" s="16" t="s">
        <v>147</v>
      </c>
      <c r="B24" s="17" t="s">
        <v>148</v>
      </c>
      <c r="C24" s="17"/>
    </row>
    <row r="25" customFormat="false" ht="30" hidden="false" customHeight="true" outlineLevel="0" collapsed="false">
      <c r="A25" s="16" t="s">
        <v>149</v>
      </c>
      <c r="B25" s="17" t="s">
        <v>150</v>
      </c>
      <c r="C25" s="17"/>
    </row>
    <row r="26" customFormat="false" ht="30" hidden="false" customHeight="true" outlineLevel="0" collapsed="false">
      <c r="A26" s="16" t="s">
        <v>151</v>
      </c>
      <c r="B26" s="17" t="s">
        <v>152</v>
      </c>
      <c r="C26" s="17"/>
    </row>
    <row r="27" customFormat="false" ht="30" hidden="false" customHeight="true" outlineLevel="0" collapsed="false">
      <c r="A27" s="16" t="s">
        <v>45</v>
      </c>
      <c r="B27" s="17" t="s">
        <v>153</v>
      </c>
      <c r="C27" s="17"/>
    </row>
    <row r="28" customFormat="false" ht="30" hidden="false" customHeight="true" outlineLevel="0" collapsed="false">
      <c r="A28" s="16" t="s">
        <v>154</v>
      </c>
      <c r="B28" s="17" t="s">
        <v>155</v>
      </c>
      <c r="C28" s="17"/>
    </row>
    <row r="29" customFormat="false" ht="30" hidden="false" customHeight="true" outlineLevel="0" collapsed="false">
      <c r="A29" s="16" t="s">
        <v>156</v>
      </c>
      <c r="B29" s="17" t="s">
        <v>157</v>
      </c>
      <c r="C29" s="17"/>
    </row>
    <row r="30" customFormat="false" ht="30" hidden="false" customHeight="true" outlineLevel="0" collapsed="false">
      <c r="A30" s="16" t="s">
        <v>85</v>
      </c>
      <c r="B30" s="17" t="s">
        <v>158</v>
      </c>
      <c r="C30" s="17"/>
    </row>
    <row r="31" customFormat="false" ht="30" hidden="false" customHeight="true" outlineLevel="0" collapsed="false">
      <c r="A31" s="16" t="s">
        <v>81</v>
      </c>
      <c r="B31" s="17" t="s">
        <v>159</v>
      </c>
      <c r="C31" s="17"/>
    </row>
    <row r="32" customFormat="false" ht="30" hidden="false" customHeight="true" outlineLevel="0" collapsed="false">
      <c r="A32" s="16" t="s">
        <v>160</v>
      </c>
      <c r="B32" s="17" t="s">
        <v>161</v>
      </c>
      <c r="C32" s="17"/>
    </row>
    <row r="34" customFormat="false" ht="15" hidden="false" customHeight="false" outlineLevel="0" collapsed="false">
      <c r="A34" s="19" t="s">
        <v>162</v>
      </c>
      <c r="B34" s="19"/>
      <c r="C34" s="19"/>
    </row>
    <row r="35" customFormat="false" ht="30" hidden="false" customHeight="true" outlineLevel="0" collapsed="false">
      <c r="A35" s="16" t="s">
        <v>163</v>
      </c>
      <c r="B35" s="17" t="s">
        <v>164</v>
      </c>
      <c r="C35" s="17"/>
    </row>
    <row r="36" customFormat="false" ht="30" hidden="false" customHeight="true" outlineLevel="0" collapsed="false">
      <c r="A36" s="16" t="s">
        <v>165</v>
      </c>
      <c r="B36" s="17" t="s">
        <v>166</v>
      </c>
      <c r="C36" s="17"/>
    </row>
    <row r="37" customFormat="false" ht="30" hidden="false" customHeight="true" outlineLevel="0" collapsed="false">
      <c r="A37" s="16" t="s">
        <v>167</v>
      </c>
      <c r="B37" s="17" t="s">
        <v>168</v>
      </c>
      <c r="C37" s="17"/>
    </row>
    <row r="38" customFormat="false" ht="30" hidden="false" customHeight="true" outlineLevel="0" collapsed="false">
      <c r="A38" s="16" t="s">
        <v>169</v>
      </c>
      <c r="B38" s="17" t="s">
        <v>170</v>
      </c>
      <c r="C38" s="17"/>
    </row>
    <row r="39" customFormat="false" ht="30" hidden="false" customHeight="true" outlineLevel="0" collapsed="false">
      <c r="A39" s="16" t="s">
        <v>171</v>
      </c>
      <c r="B39" s="17" t="s">
        <v>172</v>
      </c>
      <c r="C39" s="17"/>
    </row>
  </sheetData>
  <mergeCells count="35">
    <mergeCell ref="A1:C1"/>
    <mergeCell ref="A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A14:C14"/>
    <mergeCell ref="B15:C15"/>
    <mergeCell ref="B16:C16"/>
    <mergeCell ref="B17:C17"/>
    <mergeCell ref="B18:C18"/>
    <mergeCell ref="B19:C19"/>
    <mergeCell ref="B20:C20"/>
    <mergeCell ref="A22:C22"/>
    <mergeCell ref="B23:C23"/>
    <mergeCell ref="B24:C24"/>
    <mergeCell ref="B25:C25"/>
    <mergeCell ref="B26:C26"/>
    <mergeCell ref="B27:C27"/>
    <mergeCell ref="B28:C28"/>
    <mergeCell ref="B29:C29"/>
    <mergeCell ref="B30:C30"/>
    <mergeCell ref="B31:C31"/>
    <mergeCell ref="B32:C32"/>
    <mergeCell ref="A34:C34"/>
    <mergeCell ref="B35:C35"/>
    <mergeCell ref="B36:C36"/>
    <mergeCell ref="B37:C37"/>
    <mergeCell ref="B38:C38"/>
    <mergeCell ref="B39:C3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4" t="s">
        <v>173</v>
      </c>
      <c r="B1" s="14"/>
    </row>
    <row r="3" customFormat="false" ht="48" hidden="false" customHeight="true" outlineLevel="0" collapsed="false">
      <c r="A3" s="20" t="s">
        <v>174</v>
      </c>
      <c r="B3" s="21" t="s">
        <v>175</v>
      </c>
    </row>
    <row r="4" customFormat="false" ht="48" hidden="false" customHeight="true" outlineLevel="0" collapsed="false">
      <c r="A4" s="20" t="s">
        <v>176</v>
      </c>
      <c r="B4" s="21" t="s">
        <v>177</v>
      </c>
    </row>
    <row r="5" customFormat="false" ht="48" hidden="false" customHeight="true" outlineLevel="0" collapsed="false">
      <c r="A5" s="20" t="s">
        <v>178</v>
      </c>
      <c r="B5" s="21" t="s">
        <v>179</v>
      </c>
    </row>
    <row r="6" customFormat="false" ht="48" hidden="false" customHeight="true" outlineLevel="0" collapsed="false">
      <c r="A6" s="20" t="s">
        <v>180</v>
      </c>
      <c r="B6" s="21" t="s">
        <v>181</v>
      </c>
    </row>
    <row r="7" customFormat="false" ht="48" hidden="false" customHeight="true" outlineLevel="0" collapsed="false">
      <c r="A7" s="20" t="s">
        <v>182</v>
      </c>
      <c r="B7" s="21" t="s">
        <v>183</v>
      </c>
    </row>
    <row r="8" customFormat="false" ht="48" hidden="false" customHeight="true" outlineLevel="0" collapsed="false">
      <c r="A8" s="20" t="s">
        <v>184</v>
      </c>
      <c r="B8" s="21" t="s">
        <v>185</v>
      </c>
    </row>
    <row r="9" customFormat="false" ht="48" hidden="false" customHeight="true" outlineLevel="0" collapsed="false">
      <c r="A9" s="20" t="s">
        <v>186</v>
      </c>
      <c r="B9" s="21" t="s">
        <v>187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2026-05-18T18:31:26Z</dcterms:created>
  <dc:creator>openpyxl</dc:creator>
  <dc:description/>
  <dc:language>en-US</dc:language>
  <cp:lastModifiedBy/>
  <dcterms:modified xsi:type="dcterms:W3CDTF">2026-05-18T18:31:26Z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